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5970"/>
  </bookViews>
  <sheets>
    <sheet name="EmployeeData" sheetId="1" r:id="rId1"/>
  </sheets>
  <calcPr calcId="162913"/>
</workbook>
</file>

<file path=xl/calcChain.xml><?xml version="1.0" encoding="utf-8"?>
<calcChain xmlns="http://schemas.openxmlformats.org/spreadsheetml/2006/main">
  <c r="E18" i="1" l="1"/>
  <c r="E11" i="1"/>
  <c r="E12" i="1"/>
  <c r="E13" i="1"/>
  <c r="E14" i="1"/>
  <c r="E15" i="1"/>
  <c r="E16" i="1"/>
  <c r="E17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<sst xmlns="http://schemas.openxmlformats.org/spreadsheetml/2006/main" count="36" uniqueCount="30">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</sst>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selection activeCell="E13" sqref="E13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6" t="s">
        <v>18</v>
      </c>
      <c r="B10" s="6"/>
      <c r="C10" s="6"/>
      <c r="D10" s="6"/>
      <c r="E10" s="4" t="s">
        <v>19</v>
      </c>
      <c r="F10" s="2" t="s">
        <v>20</v>
      </c>
    </row>
    <row r="11" spans="1:11">
      <c r="A11" s="5" t="s">
        <v>21</v>
      </c>
      <c r="B11" s="5"/>
      <c r="C11" s="5"/>
      <c r="D11" s="5"/>
      <c r="E11" s="7">
        <f>INDEX(D2:H7,MATCH("Charlie",B2:B7,0),MATCH("Mar Salary",D1:H1,0))</f>
        <v>5200</v>
      </c>
      <c r="F11" s="3">
        <v>5200</v>
      </c>
    </row>
    <row r="12" spans="1:11">
      <c r="A12" s="5" t="s">
        <v>22</v>
      </c>
      <c r="B12" s="5"/>
      <c r="C12" s="5"/>
      <c r="D12" s="5"/>
      <c r="E12" s="3" t="str">
        <f>INDEX(C2:C7,MATCH("Eva",B2:B7,0))</f>
        <v>Finance</v>
      </c>
      <c r="F12" s="3" t="s">
        <v>11</v>
      </c>
    </row>
    <row r="13" spans="1:11">
      <c r="A13" s="5" t="s">
        <v>23</v>
      </c>
      <c r="B13" s="5"/>
      <c r="C13" s="5"/>
      <c r="D13" s="5"/>
      <c r="E13" s="3">
        <f>MAX(INDEX(D2:H7, MATCH("Bob",B2:B7,0),0), 0)</f>
        <v>4400</v>
      </c>
      <c r="F13" s="3">
        <v>4400</v>
      </c>
    </row>
    <row r="14" spans="1:11">
      <c r="A14" s="5" t="s">
        <v>24</v>
      </c>
      <c r="B14" s="5"/>
      <c r="C14" s="5"/>
      <c r="D14" s="5"/>
      <c r="E14" s="8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5" t="s">
        <v>25</v>
      </c>
      <c r="B15" s="5"/>
      <c r="C15" s="5"/>
      <c r="D15" s="5"/>
      <c r="E15" s="3">
        <f>SUMIF(C2:C7,"IT",INDEX(D2:H7,0,MATCH("Apr Salary",D1:H1,0)))</f>
        <v>11100</v>
      </c>
      <c r="F15" s="3">
        <v>11100</v>
      </c>
    </row>
    <row r="16" spans="1:11">
      <c r="A16" s="5" t="s">
        <v>26</v>
      </c>
      <c r="B16" s="5"/>
      <c r="C16" s="5"/>
      <c r="D16" s="5"/>
      <c r="E16" s="3">
        <f>AVERAGE(INDEX(D2:H7,MATCH("David",B2:B7,0),0))</f>
        <v>3700</v>
      </c>
      <c r="F16" s="3">
        <v>3700</v>
      </c>
    </row>
    <row r="17" spans="1:6">
      <c r="A17" s="5" t="s">
        <v>27</v>
      </c>
      <c r="B17" s="5"/>
      <c r="C17" s="5"/>
      <c r="D17" s="5"/>
      <c r="E17" s="3">
        <f>INDEX(D2:H7,MATCH(205,A2:A7,0),MATCH("May Salary",D1:H1,0))</f>
        <v>4900</v>
      </c>
      <c r="F17" s="3">
        <v>4900</v>
      </c>
    </row>
    <row r="18" spans="1:6">
      <c r="A18" s="5" t="s">
        <v>28</v>
      </c>
      <c r="B18" s="5"/>
      <c r="C18" s="5"/>
      <c r="D18" s="5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2026-05-19T11:10:23Z</dcterms:created>
  <dcterms:modified xsi:type="dcterms:W3CDTF">2026-05-20T07:34:02Z</dcterms:modified>
</cp:coreProperties>
</file>